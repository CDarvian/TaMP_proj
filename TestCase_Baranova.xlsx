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Admin\Политех\ТМП\"/>
    </mc:Choice>
  </mc:AlternateContent>
  <xr:revisionPtr revIDLastSave="0" documentId="13_ncr:1_{60F227D2-C6A5-4E7E-BA3C-2F3476BD47FD}" xr6:coauthVersionLast="44" xr6:coauthVersionMax="44" xr10:uidLastSave="{00000000-0000-0000-0000-000000000000}"/>
  <bookViews>
    <workbookView xWindow="43080" yWindow="-120" windowWidth="25440" windowHeight="15270" xr2:uid="{00000000-000D-0000-FFFF-FFFF00000000}"/>
  </bookViews>
  <sheets>
    <sheet name="TestCase" sheetId="1" r:id="rId1"/>
    <sheet name="Деффект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10" i="1" l="1"/>
  <c r="E10" i="1"/>
  <c r="D10" i="1"/>
  <c r="A10" i="1"/>
  <c r="H10" i="1" l="1"/>
</calcChain>
</file>

<file path=xl/sharedStrings.xml><?xml version="1.0" encoding="utf-8"?>
<sst xmlns="http://schemas.openxmlformats.org/spreadsheetml/2006/main" count="81" uniqueCount="73">
  <si>
    <t>Наименование:</t>
  </si>
  <si>
    <t>Доступ к задачам</t>
  </si>
  <si>
    <t>№:</t>
  </si>
  <si>
    <t>Описание:</t>
  </si>
  <si>
    <t>Проверка Аутентификации</t>
  </si>
  <si>
    <t>Статус:</t>
  </si>
  <si>
    <t>Выполнен</t>
  </si>
  <si>
    <t>Дефекты №:</t>
  </si>
  <si>
    <t>Тестировщик:</t>
  </si>
  <si>
    <t>Дата:</t>
  </si>
  <si>
    <t>Начальные условия:</t>
  </si>
  <si>
    <t>none</t>
  </si>
  <si>
    <t>&lt;список параметров&gt;</t>
  </si>
  <si>
    <t>&lt;соответствующие значения&gt;</t>
  </si>
  <si>
    <t>&lt;отметка о проверке при выполнении кейса&gt;</t>
  </si>
  <si>
    <t>шагов</t>
  </si>
  <si>
    <t>Число шагов по статусам:</t>
  </si>
  <si>
    <t>% Complete:</t>
  </si>
  <si>
    <t>Шаг</t>
  </si>
  <si>
    <t>Действие</t>
  </si>
  <si>
    <t>Ожидаемый результат</t>
  </si>
  <si>
    <t>Pass</t>
  </si>
  <si>
    <t>Fail</t>
  </si>
  <si>
    <t>N/A</t>
  </si>
  <si>
    <t>Фактический результат</t>
  </si>
  <si>
    <t>№ дефекта</t>
  </si>
  <si>
    <t>Запустить клиент</t>
  </si>
  <si>
    <t>x</t>
  </si>
  <si>
    <t>Открылось главное меню с кнопкой войти</t>
  </si>
  <si>
    <t>Откроется меню аутентификации</t>
  </si>
  <si>
    <t>Открылось окно аутентификации</t>
  </si>
  <si>
    <t>Ввод данных для аутентификации и нажать на кнопку далее</t>
  </si>
  <si>
    <t>Откроется окно tasks</t>
  </si>
  <si>
    <t>В консоли вывелась ошибка Данного пользователя не существует</t>
  </si>
  <si>
    <t>Нажать на кнопку назад из окна tasks</t>
  </si>
  <si>
    <t>Откроется окно авторизации</t>
  </si>
  <si>
    <t>Открылось окно авторизации</t>
  </si>
  <si>
    <t>Название</t>
  </si>
  <si>
    <t>Проверка авторизации на стороне клиента</t>
  </si>
  <si>
    <t>№ тест-кейса</t>
  </si>
  <si>
    <t>Проект</t>
  </si>
  <si>
    <t>Компонент</t>
  </si>
  <si>
    <t>Статус</t>
  </si>
  <si>
    <t>In Progress</t>
  </si>
  <si>
    <t>Номер версии</t>
  </si>
  <si>
    <t>Важность:</t>
  </si>
  <si>
    <t>Приоритет:</t>
  </si>
  <si>
    <t>Medium</t>
  </si>
  <si>
    <t>Blocker</t>
  </si>
  <si>
    <t>High</t>
  </si>
  <si>
    <t>Opened</t>
  </si>
  <si>
    <t>Critical</t>
  </si>
  <si>
    <t>In progress</t>
  </si>
  <si>
    <t>Major</t>
  </si>
  <si>
    <t>Low</t>
  </si>
  <si>
    <t>Retest</t>
  </si>
  <si>
    <t>Minor</t>
  </si>
  <si>
    <t>Fixed</t>
  </si>
  <si>
    <t>Trivial</t>
  </si>
  <si>
    <t>Closed</t>
  </si>
  <si>
    <t>Назначен на</t>
  </si>
  <si>
    <t>Автор</t>
  </si>
  <si>
    <t>Описание</t>
  </si>
  <si>
    <t>Вложения</t>
  </si>
  <si>
    <t>Откроется главное меню с кнопкой "регистрация/вход"</t>
  </si>
  <si>
    <t>Баранова Мария</t>
  </si>
  <si>
    <t>Нажать на кнопку создать аккаунт</t>
  </si>
  <si>
    <t>Отобразится форма регистрации</t>
  </si>
  <si>
    <t>Отобразилась форма регистрации</t>
  </si>
  <si>
    <t>Ввести логин и пароль и нажать на кнопку зарегестрироваться</t>
  </si>
  <si>
    <t>Видымых изменений не произошло</t>
  </si>
  <si>
    <t>Нажать на кнопку "У меня уже есть аккаунт"</t>
  </si>
  <si>
    <t xml:space="preserve"> Шаги воспроизведения 
1. Запустить клиент 
2. Подключиться нажать кнопку Создать аккаунт и заполнить поля для регистрации
3. Ввести логин qwerty и пароль qwerty
4. Нажать кнопку Зарегестрироваться
Ожидаемый результат:
Перешел в меню tasks
Наблюдаемый результат:
Видимых изменений не произошло. Пришлось возвращаться в окно входа.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</si>
</sst>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yy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1"/>
      <name val="&quot;Times New Roman&quot;"/>
    </font>
    <font>
      <sz val="10"/>
      <color theme="1"/>
      <name val="&quot;Times New Roman&quot;"/>
    </font>
    <font>
      <sz val="11"/>
      <color rgb="FF38761D"/>
      <name val="Calibri"/>
      <family val="2"/>
    </font>
    <font>
      <sz val="10"/>
      <name val="Arial"/>
      <family val="2"/>
    </font>
    <font>
      <sz val="10"/>
      <color rgb="FF38761D"/>
      <name val="&quot;Times New Roman&quot;"/>
    </font>
    <font>
      <sz val="11"/>
      <color rgb="FF000000"/>
      <name val="Calibri"/>
      <family val="2"/>
      <charset val="204"/>
    </font>
    <font>
      <b/>
      <sz val="10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C0C0C0"/>
        <bgColor indexed="64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7" fillId="0" borderId="0"/>
  </cellStyleXfs>
  <cellXfs count="53">
    <xf numFmtId="0" fontId="0" fillId="0" borderId="0" xfId="0"/>
    <xf numFmtId="0" fontId="1" fillId="2" borderId="1" xfId="0" applyFont="1" applyFill="1" applyBorder="1"/>
    <xf numFmtId="0" fontId="2" fillId="2" borderId="2" xfId="0" applyFont="1" applyFill="1" applyBorder="1" applyAlignment="1">
      <alignment horizontal="right"/>
    </xf>
    <xf numFmtId="0" fontId="3" fillId="0" borderId="2" xfId="0" applyFont="1" applyBorder="1" applyAlignment="1">
      <alignment vertical="top" wrapText="1"/>
    </xf>
    <xf numFmtId="0" fontId="1" fillId="2" borderId="3" xfId="0" applyFont="1" applyFill="1" applyBorder="1"/>
    <xf numFmtId="0" fontId="1" fillId="0" borderId="2" xfId="0" applyFont="1" applyBorder="1"/>
    <xf numFmtId="0" fontId="1" fillId="2" borderId="4" xfId="0" applyFont="1" applyFill="1" applyBorder="1"/>
    <xf numFmtId="0" fontId="1" fillId="2" borderId="7" xfId="0" applyFont="1" applyFill="1" applyBorder="1"/>
    <xf numFmtId="0" fontId="2" fillId="2" borderId="8" xfId="0" applyFont="1" applyFill="1" applyBorder="1" applyAlignment="1">
      <alignment horizontal="right"/>
    </xf>
    <xf numFmtId="0" fontId="4" fillId="2" borderId="8" xfId="0" applyFont="1" applyFill="1" applyBorder="1"/>
    <xf numFmtId="0" fontId="1" fillId="2" borderId="9" xfId="0" applyFont="1" applyFill="1" applyBorder="1"/>
    <xf numFmtId="0" fontId="1" fillId="2" borderId="12" xfId="0" applyFont="1" applyFill="1" applyBorder="1"/>
    <xf numFmtId="0" fontId="2" fillId="2" borderId="11" xfId="0" applyFont="1" applyFill="1" applyBorder="1"/>
    <xf numFmtId="0" fontId="1" fillId="0" borderId="11" xfId="0" applyFont="1" applyBorder="1"/>
    <xf numFmtId="0" fontId="1" fillId="2" borderId="13" xfId="0" applyFont="1" applyFill="1" applyBorder="1"/>
    <xf numFmtId="0" fontId="1" fillId="2" borderId="14" xfId="0" applyFont="1" applyFill="1" applyBorder="1"/>
    <xf numFmtId="0" fontId="1" fillId="0" borderId="8" xfId="0" applyFont="1" applyBorder="1"/>
    <xf numFmtId="164" fontId="1" fillId="0" borderId="8" xfId="0" applyNumberFormat="1" applyFont="1" applyBorder="1"/>
    <xf numFmtId="0" fontId="1" fillId="0" borderId="12" xfId="0" applyFont="1" applyBorder="1"/>
    <xf numFmtId="0" fontId="3" fillId="0" borderId="0" xfId="0" applyFont="1"/>
    <xf numFmtId="0" fontId="1" fillId="0" borderId="0" xfId="0" applyFont="1"/>
    <xf numFmtId="0" fontId="3" fillId="0" borderId="0" xfId="0" applyFont="1" applyAlignment="1">
      <alignment vertical="top" wrapText="1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right"/>
    </xf>
    <xf numFmtId="0" fontId="2" fillId="2" borderId="11" xfId="0" applyFont="1" applyFill="1" applyBorder="1" applyAlignment="1">
      <alignment horizontal="center"/>
    </xf>
    <xf numFmtId="9" fontId="2" fillId="2" borderId="13" xfId="0" applyNumberFormat="1" applyFont="1" applyFill="1" applyBorder="1" applyAlignment="1">
      <alignment horizontal="right"/>
    </xf>
    <xf numFmtId="0" fontId="2" fillId="2" borderId="15" xfId="0" applyFont="1" applyFill="1" applyBorder="1" applyAlignment="1">
      <alignment horizontal="center"/>
    </xf>
    <xf numFmtId="0" fontId="2" fillId="2" borderId="13" xfId="0" applyFont="1" applyFill="1" applyBorder="1"/>
    <xf numFmtId="0" fontId="3" fillId="0" borderId="16" xfId="0" applyFont="1" applyBorder="1" applyAlignment="1">
      <alignment horizontal="center"/>
    </xf>
    <xf numFmtId="0" fontId="3" fillId="0" borderId="8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1" fillId="0" borderId="8" xfId="0" applyFont="1" applyBorder="1" applyAlignment="1">
      <alignment vertical="top"/>
    </xf>
    <xf numFmtId="0" fontId="6" fillId="0" borderId="8" xfId="0" applyFont="1" applyBorder="1" applyAlignment="1">
      <alignment vertical="top" wrapText="1"/>
    </xf>
    <xf numFmtId="0" fontId="1" fillId="0" borderId="17" xfId="0" applyFont="1" applyBorder="1" applyAlignment="1">
      <alignment vertical="top"/>
    </xf>
    <xf numFmtId="0" fontId="8" fillId="3" borderId="18" xfId="1" applyFont="1" applyFill="1" applyBorder="1" applyAlignment="1">
      <alignment horizontal="right" wrapText="1"/>
    </xf>
    <xf numFmtId="0" fontId="8" fillId="3" borderId="22" xfId="1" applyFont="1" applyFill="1" applyBorder="1" applyAlignment="1">
      <alignment horizontal="right" wrapText="1"/>
    </xf>
    <xf numFmtId="0" fontId="7" fillId="0" borderId="23" xfId="1" applyBorder="1" applyAlignment="1">
      <alignment horizontal="right" wrapText="1"/>
    </xf>
    <xf numFmtId="0" fontId="8" fillId="3" borderId="23" xfId="1" applyFont="1" applyFill="1" applyBorder="1" applyAlignment="1">
      <alignment horizontal="right" wrapText="1"/>
    </xf>
    <xf numFmtId="0" fontId="7" fillId="0" borderId="23" xfId="1" applyBorder="1" applyAlignment="1">
      <alignment wrapText="1"/>
    </xf>
    <xf numFmtId="0" fontId="9" fillId="0" borderId="22" xfId="1" applyFont="1" applyBorder="1" applyAlignment="1">
      <alignment vertical="top" wrapText="1"/>
    </xf>
    <xf numFmtId="0" fontId="9" fillId="0" borderId="23" xfId="1" applyFont="1" applyBorder="1" applyAlignment="1">
      <alignment vertical="top" wrapText="1"/>
    </xf>
    <xf numFmtId="0" fontId="8" fillId="3" borderId="22" xfId="1" applyFont="1" applyFill="1" applyBorder="1" applyAlignment="1">
      <alignment horizontal="right" vertical="top" wrapText="1"/>
    </xf>
    <xf numFmtId="0" fontId="1" fillId="2" borderId="5" xfId="0" applyFont="1" applyFill="1" applyBorder="1"/>
    <xf numFmtId="0" fontId="5" fillId="0" borderId="10" xfId="0" applyFont="1" applyBorder="1"/>
    <xf numFmtId="0" fontId="2" fillId="2" borderId="6" xfId="0" applyFont="1" applyFill="1" applyBorder="1" applyAlignment="1">
      <alignment horizontal="right" vertical="top"/>
    </xf>
    <xf numFmtId="0" fontId="5" fillId="0" borderId="11" xfId="0" applyFont="1" applyBorder="1"/>
    <xf numFmtId="0" fontId="3" fillId="0" borderId="6" xfId="0" applyFont="1" applyBorder="1" applyAlignment="1">
      <alignment vertical="top" wrapText="1"/>
    </xf>
    <xf numFmtId="0" fontId="7" fillId="0" borderId="19" xfId="1" applyBorder="1" applyAlignment="1">
      <alignment wrapText="1"/>
    </xf>
    <xf numFmtId="0" fontId="7" fillId="0" borderId="20" xfId="1" applyBorder="1" applyAlignment="1">
      <alignment wrapText="1"/>
    </xf>
    <xf numFmtId="0" fontId="7" fillId="0" borderId="21" xfId="1" applyBorder="1" applyAlignment="1">
      <alignment wrapText="1"/>
    </xf>
    <xf numFmtId="0" fontId="9" fillId="0" borderId="19" xfId="1" applyFont="1" applyBorder="1" applyAlignment="1">
      <alignment vertical="top" wrapText="1"/>
    </xf>
    <xf numFmtId="0" fontId="9" fillId="0" borderId="20" xfId="1" applyFont="1" applyBorder="1" applyAlignment="1">
      <alignment vertical="top" wrapText="1"/>
    </xf>
    <xf numFmtId="0" fontId="9" fillId="0" borderId="21" xfId="1" applyFont="1" applyBorder="1" applyAlignment="1">
      <alignment vertical="top" wrapText="1"/>
    </xf>
  </cellXfs>
  <cellStyles count="2">
    <cellStyle name="Обычный" xfId="0" builtinId="0"/>
    <cellStyle name="Обычный 7" xfId="1" xr:uid="{81CBA483-3A12-4B9A-8FF6-F32D79D71D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J17" sqref="J17"/>
    </sheetView>
  </sheetViews>
  <sheetFormatPr defaultRowHeight="14.25" x14ac:dyDescent="0.45"/>
  <cols>
    <col min="1" max="1" width="4.19921875" bestFit="1" customWidth="1"/>
    <col min="2" max="2" width="19.9296875" bestFit="1" customWidth="1"/>
    <col min="3" max="3" width="24.53125" bestFit="1" customWidth="1"/>
    <col min="4" max="4" width="39.3984375" bestFit="1" customWidth="1"/>
    <col min="5" max="5" width="3.9296875" bestFit="1" customWidth="1"/>
    <col min="6" max="6" width="12.06640625" bestFit="1" customWidth="1"/>
    <col min="7" max="7" width="21.9296875" bestFit="1" customWidth="1"/>
    <col min="8" max="8" width="10.73046875" bestFit="1" customWidth="1"/>
  </cols>
  <sheetData>
    <row r="1" spans="1:8" x14ac:dyDescent="0.45">
      <c r="A1" s="1"/>
      <c r="B1" s="2" t="s">
        <v>0</v>
      </c>
      <c r="C1" s="3" t="s">
        <v>1</v>
      </c>
      <c r="D1" s="4"/>
      <c r="E1" s="4"/>
      <c r="F1" s="2" t="s">
        <v>2</v>
      </c>
      <c r="G1" s="5">
        <v>1</v>
      </c>
      <c r="H1" s="6"/>
    </row>
    <row r="2" spans="1:8" x14ac:dyDescent="0.45">
      <c r="A2" s="42"/>
      <c r="B2" s="44" t="s">
        <v>3</v>
      </c>
      <c r="C2" s="46" t="s">
        <v>4</v>
      </c>
      <c r="D2" s="7"/>
      <c r="E2" s="7"/>
      <c r="F2" s="8" t="s">
        <v>5</v>
      </c>
      <c r="G2" s="9" t="s">
        <v>6</v>
      </c>
      <c r="H2" s="10"/>
    </row>
    <row r="3" spans="1:8" ht="14.65" thickBot="1" x14ac:dyDescent="0.5">
      <c r="A3" s="43"/>
      <c r="B3" s="45"/>
      <c r="C3" s="45"/>
      <c r="D3" s="11"/>
      <c r="E3" s="11"/>
      <c r="F3" s="12" t="s">
        <v>7</v>
      </c>
      <c r="G3" s="13">
        <v>1</v>
      </c>
      <c r="H3" s="14"/>
    </row>
    <row r="4" spans="1:8" x14ac:dyDescent="0.45">
      <c r="A4" s="15"/>
      <c r="B4" s="8" t="s">
        <v>8</v>
      </c>
      <c r="C4" s="16" t="s">
        <v>65</v>
      </c>
      <c r="D4" s="7"/>
      <c r="E4" s="7"/>
      <c r="F4" s="8" t="s">
        <v>9</v>
      </c>
      <c r="G4" s="17">
        <v>45813</v>
      </c>
      <c r="H4" s="10"/>
    </row>
    <row r="5" spans="1:8" ht="14.65" thickBot="1" x14ac:dyDescent="0.5">
      <c r="A5" s="18"/>
      <c r="B5" s="18"/>
      <c r="C5" s="18"/>
      <c r="D5" s="18"/>
      <c r="E5" s="18"/>
      <c r="F5" s="18"/>
      <c r="G5" s="18"/>
      <c r="H5" s="18"/>
    </row>
    <row r="6" spans="1:8" x14ac:dyDescent="0.45">
      <c r="A6" s="15"/>
      <c r="B6" s="8" t="s">
        <v>10</v>
      </c>
      <c r="C6" s="19" t="s">
        <v>11</v>
      </c>
      <c r="D6" s="20"/>
      <c r="E6" s="20"/>
      <c r="F6" s="20"/>
      <c r="G6" s="20"/>
      <c r="H6" s="20"/>
    </row>
    <row r="7" spans="1:8" ht="25.5" x14ac:dyDescent="0.45">
      <c r="A7" s="20"/>
      <c r="B7" s="21" t="s">
        <v>12</v>
      </c>
      <c r="C7" s="21" t="s">
        <v>13</v>
      </c>
      <c r="D7" s="19" t="s">
        <v>14</v>
      </c>
      <c r="E7" s="20"/>
      <c r="F7" s="20"/>
      <c r="G7" s="20"/>
      <c r="H7" s="20"/>
    </row>
    <row r="8" spans="1:8" x14ac:dyDescent="0.45">
      <c r="A8" s="20"/>
      <c r="B8" s="20"/>
      <c r="C8" s="20"/>
      <c r="D8" s="20"/>
      <c r="E8" s="20"/>
      <c r="F8" s="20"/>
      <c r="G8" s="20"/>
      <c r="H8" s="20"/>
    </row>
    <row r="9" spans="1:8" ht="14.65" thickBot="1" x14ac:dyDescent="0.5">
      <c r="A9" s="18"/>
      <c r="B9" s="18"/>
      <c r="C9" s="18"/>
      <c r="D9" s="18"/>
      <c r="E9" s="18"/>
      <c r="F9" s="18"/>
      <c r="G9" s="18"/>
      <c r="H9" s="18"/>
    </row>
    <row r="10" spans="1:8" ht="14.65" thickBot="1" x14ac:dyDescent="0.5">
      <c r="A10" s="22">
        <f>COUNTA(A12:A28)</f>
        <v>6</v>
      </c>
      <c r="B10" s="12" t="s">
        <v>15</v>
      </c>
      <c r="C10" s="23" t="s">
        <v>16</v>
      </c>
      <c r="D10" s="24">
        <f t="shared" ref="D10:F10" si="0">COUNTIF(D12:D28,"x")</f>
        <v>6</v>
      </c>
      <c r="E10" s="24">
        <f t="shared" si="0"/>
        <v>0</v>
      </c>
      <c r="F10" s="24">
        <f t="shared" si="0"/>
        <v>0</v>
      </c>
      <c r="G10" s="23" t="s">
        <v>17</v>
      </c>
      <c r="H10" s="25">
        <f>(D10+E10+F10)/A10</f>
        <v>1</v>
      </c>
    </row>
    <row r="11" spans="1:8" ht="14.65" thickBot="1" x14ac:dyDescent="0.5">
      <c r="A11" s="26" t="s">
        <v>18</v>
      </c>
      <c r="B11" s="12" t="s">
        <v>19</v>
      </c>
      <c r="C11" s="12" t="s">
        <v>20</v>
      </c>
      <c r="D11" s="24" t="s">
        <v>21</v>
      </c>
      <c r="E11" s="24" t="s">
        <v>22</v>
      </c>
      <c r="F11" s="24" t="s">
        <v>23</v>
      </c>
      <c r="G11" s="12" t="s">
        <v>24</v>
      </c>
      <c r="H11" s="27" t="s">
        <v>25</v>
      </c>
    </row>
    <row r="12" spans="1:8" ht="25.5" x14ac:dyDescent="0.45">
      <c r="A12" s="28">
        <v>1</v>
      </c>
      <c r="B12" s="29" t="s">
        <v>26</v>
      </c>
      <c r="C12" s="29" t="s">
        <v>64</v>
      </c>
      <c r="D12" s="30" t="s">
        <v>27</v>
      </c>
      <c r="E12" s="31"/>
      <c r="F12" s="31"/>
      <c r="G12" s="32" t="s">
        <v>28</v>
      </c>
      <c r="H12" s="33"/>
    </row>
    <row r="13" spans="1:8" ht="33.75" customHeight="1" x14ac:dyDescent="0.45">
      <c r="A13" s="28">
        <v>2</v>
      </c>
      <c r="B13" s="29" t="s">
        <v>66</v>
      </c>
      <c r="C13" s="29" t="s">
        <v>67</v>
      </c>
      <c r="D13" s="30" t="s">
        <v>27</v>
      </c>
      <c r="E13" s="31"/>
      <c r="F13" s="31"/>
      <c r="G13" s="32" t="s">
        <v>68</v>
      </c>
      <c r="H13" s="33"/>
    </row>
    <row r="14" spans="1:8" ht="51" x14ac:dyDescent="0.45">
      <c r="A14" s="28">
        <v>3</v>
      </c>
      <c r="B14" s="29" t="s">
        <v>69</v>
      </c>
      <c r="C14" s="29" t="s">
        <v>32</v>
      </c>
      <c r="D14" s="30" t="s">
        <v>27</v>
      </c>
      <c r="E14" s="31"/>
      <c r="F14" s="31"/>
      <c r="G14" s="32" t="s">
        <v>70</v>
      </c>
      <c r="H14" s="33">
        <v>1</v>
      </c>
    </row>
    <row r="15" spans="1:8" ht="38.25" x14ac:dyDescent="0.45">
      <c r="A15" s="28">
        <v>4</v>
      </c>
      <c r="B15" s="29" t="s">
        <v>71</v>
      </c>
      <c r="C15" s="29" t="s">
        <v>29</v>
      </c>
      <c r="D15" s="30" t="s">
        <v>27</v>
      </c>
      <c r="E15" s="31"/>
      <c r="F15" s="31"/>
      <c r="G15" s="32" t="s">
        <v>30</v>
      </c>
      <c r="H15" s="33"/>
    </row>
    <row r="16" spans="1:8" ht="51" x14ac:dyDescent="0.45">
      <c r="A16" s="28">
        <v>5</v>
      </c>
      <c r="B16" s="29" t="s">
        <v>31</v>
      </c>
      <c r="C16" s="29" t="s">
        <v>32</v>
      </c>
      <c r="D16" s="30" t="s">
        <v>27</v>
      </c>
      <c r="E16" s="31"/>
      <c r="F16" s="31"/>
      <c r="G16" s="32" t="s">
        <v>33</v>
      </c>
      <c r="H16" s="33"/>
    </row>
    <row r="17" spans="1:8" ht="25.5" x14ac:dyDescent="0.45">
      <c r="A17" s="28">
        <v>6</v>
      </c>
      <c r="B17" s="29" t="s">
        <v>34</v>
      </c>
      <c r="C17" s="29" t="s">
        <v>35</v>
      </c>
      <c r="D17" s="30" t="s">
        <v>27</v>
      </c>
      <c r="E17" s="31"/>
      <c r="F17" s="31"/>
      <c r="G17" s="32" t="s">
        <v>36</v>
      </c>
      <c r="H17" s="33"/>
    </row>
  </sheetData>
  <mergeCells count="3">
    <mergeCell ref="A2:A3"/>
    <mergeCell ref="B2:B3"/>
    <mergeCell ref="C2:C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E2DBC-A51F-4CB9-A53A-D36DF569B210}">
  <dimension ref="A1:D13"/>
  <sheetViews>
    <sheetView workbookViewId="0">
      <selection sqref="A1:D13"/>
    </sheetView>
  </sheetViews>
  <sheetFormatPr defaultRowHeight="14.25" x14ac:dyDescent="0.45"/>
  <cols>
    <col min="1" max="1" width="13.59765625" customWidth="1"/>
    <col min="2" max="2" width="7.3984375" bestFit="1" customWidth="1"/>
    <col min="3" max="3" width="15.86328125" customWidth="1"/>
    <col min="4" max="4" width="30.73046875" customWidth="1"/>
  </cols>
  <sheetData>
    <row r="1" spans="1:4" ht="14.65" thickBot="1" x14ac:dyDescent="0.5">
      <c r="A1" s="34" t="s">
        <v>37</v>
      </c>
      <c r="B1" s="47" t="s">
        <v>38</v>
      </c>
      <c r="C1" s="48"/>
      <c r="D1" s="49"/>
    </row>
    <row r="2" spans="1:4" ht="14.65" thickBot="1" x14ac:dyDescent="0.5">
      <c r="A2" s="35" t="s">
        <v>25</v>
      </c>
      <c r="B2" s="36">
        <v>1</v>
      </c>
      <c r="C2" s="37" t="s">
        <v>39</v>
      </c>
      <c r="D2" s="36">
        <v>2</v>
      </c>
    </row>
    <row r="3" spans="1:4" ht="14.65" thickBot="1" x14ac:dyDescent="0.5">
      <c r="A3" s="35" t="s">
        <v>40</v>
      </c>
      <c r="B3" s="36"/>
      <c r="C3" s="37" t="s">
        <v>41</v>
      </c>
      <c r="D3" s="38"/>
    </row>
    <row r="4" spans="1:4" ht="28.9" thickBot="1" x14ac:dyDescent="0.5">
      <c r="A4" s="35" t="s">
        <v>42</v>
      </c>
      <c r="B4" s="38" t="s">
        <v>43</v>
      </c>
      <c r="C4" s="37" t="s">
        <v>44</v>
      </c>
      <c r="D4" s="38"/>
    </row>
    <row r="5" spans="1:4" ht="14.65" thickBot="1" x14ac:dyDescent="0.5">
      <c r="A5" s="35" t="s">
        <v>45</v>
      </c>
      <c r="B5" s="38">
        <v>1</v>
      </c>
      <c r="C5" s="37" t="s">
        <v>46</v>
      </c>
      <c r="D5" s="38" t="s">
        <v>47</v>
      </c>
    </row>
    <row r="6" spans="1:4" ht="14.65" thickBot="1" x14ac:dyDescent="0.5">
      <c r="A6" s="39" t="s">
        <v>48</v>
      </c>
      <c r="B6" s="40" t="s">
        <v>49</v>
      </c>
      <c r="C6" s="38" t="s">
        <v>50</v>
      </c>
      <c r="D6" s="38"/>
    </row>
    <row r="7" spans="1:4" ht="14.65" thickBot="1" x14ac:dyDescent="0.5">
      <c r="A7" s="39" t="s">
        <v>51</v>
      </c>
      <c r="B7" s="40" t="s">
        <v>47</v>
      </c>
      <c r="C7" s="38" t="s">
        <v>52</v>
      </c>
      <c r="D7" s="38"/>
    </row>
    <row r="8" spans="1:4" ht="14.65" thickBot="1" x14ac:dyDescent="0.5">
      <c r="A8" s="39" t="s">
        <v>53</v>
      </c>
      <c r="B8" s="40" t="s">
        <v>54</v>
      </c>
      <c r="C8" s="38" t="s">
        <v>55</v>
      </c>
      <c r="D8" s="38"/>
    </row>
    <row r="9" spans="1:4" ht="14.65" thickBot="1" x14ac:dyDescent="0.5">
      <c r="A9" s="39" t="s">
        <v>56</v>
      </c>
      <c r="B9" s="38"/>
      <c r="C9" s="38" t="s">
        <v>57</v>
      </c>
      <c r="D9" s="38"/>
    </row>
    <row r="10" spans="1:4" ht="14.65" thickBot="1" x14ac:dyDescent="0.5">
      <c r="A10" s="39" t="s">
        <v>58</v>
      </c>
      <c r="B10" s="38"/>
      <c r="C10" s="38" t="s">
        <v>59</v>
      </c>
      <c r="D10" s="38"/>
    </row>
    <row r="11" spans="1:4" ht="14.65" thickBot="1" x14ac:dyDescent="0.5">
      <c r="A11" s="35" t="s">
        <v>60</v>
      </c>
      <c r="B11" s="38"/>
      <c r="C11" s="37" t="s">
        <v>61</v>
      </c>
      <c r="D11" s="38"/>
    </row>
    <row r="12" spans="1:4" ht="145.9" customHeight="1" thickBot="1" x14ac:dyDescent="0.5">
      <c r="A12" s="41" t="s">
        <v>62</v>
      </c>
      <c r="B12" s="50" t="s">
        <v>72</v>
      </c>
      <c r="C12" s="51"/>
      <c r="D12" s="52"/>
    </row>
    <row r="13" spans="1:4" ht="14.65" thickBot="1" x14ac:dyDescent="0.5">
      <c r="A13" s="35" t="s">
        <v>63</v>
      </c>
      <c r="B13" s="47"/>
      <c r="C13" s="48"/>
      <c r="D13" s="49"/>
    </row>
  </sheetData>
  <mergeCells count="3">
    <mergeCell ref="B1:D1"/>
    <mergeCell ref="B12:D12"/>
    <mergeCell ref="B13:D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TestCase</vt:lpstr>
      <vt:lpstr>Деффект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</dc:creator>
  <cp:lastModifiedBy>Admin</cp:lastModifiedBy>
  <dcterms:created xsi:type="dcterms:W3CDTF">2015-06-05T18:19:34Z</dcterms:created>
  <dcterms:modified xsi:type="dcterms:W3CDTF">2025-06-05T19:55:01Z</dcterms:modified>
</cp:coreProperties>
</file>